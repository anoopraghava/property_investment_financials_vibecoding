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hp9N3JpPddS7I0MoQ+qf7W2Vd+c8l0ZVNUu2aN+o7s="/>
    </ext>
  </extLst>
</workbook>
</file>

<file path=xl/sharedStrings.xml><?xml version="1.0" encoding="utf-8"?>
<sst xmlns="http://schemas.openxmlformats.org/spreadsheetml/2006/main" count="33" uniqueCount="33">
  <si>
    <t>Property Purchase Price</t>
  </si>
  <si>
    <t>Annual Rental Income</t>
  </si>
  <si>
    <t>Available Deposit</t>
  </si>
  <si>
    <t>Calculated Rental Yield (%)</t>
  </si>
  <si>
    <t>Expected Weekly Rent</t>
  </si>
  <si>
    <t>Loan-to-Value Ratio (LVR)</t>
  </si>
  <si>
    <t>OR Expected Rental Yield (%)</t>
  </si>
  <si>
    <t>LMI Amount (If Applicable)</t>
  </si>
  <si>
    <t>Investment Loan Interest Rate (%)</t>
  </si>
  <si>
    <t>Total Loan Amount</t>
  </si>
  <si>
    <t>Loan Term (Years)</t>
  </si>
  <si>
    <t>Annual Maintenance Cost</t>
  </si>
  <si>
    <t>LMI Premium (%) (if LVR &gt; 80%)</t>
  </si>
  <si>
    <t>Property Management Cost</t>
  </si>
  <si>
    <t>Upfront Costs (Stamp Duty, Legal, etc.)</t>
  </si>
  <si>
    <t>Annual Interest Paid</t>
  </si>
  <si>
    <t>Annual Council Rates</t>
  </si>
  <si>
    <t>Total Annual Expenses</t>
  </si>
  <si>
    <t>Annual Water Rates</t>
  </si>
  <si>
    <t>Net Gearing (Pre-Depreciation)</t>
  </si>
  <si>
    <t>Annual Landlord Insurance</t>
  </si>
  <si>
    <t>Total Taxable Loss (Gearing)</t>
  </si>
  <si>
    <t>Property Management Fee (%)</t>
  </si>
  <si>
    <t>Annual Tax Savings</t>
  </si>
  <si>
    <t>Annual Maintenance (%) of Prop Price</t>
  </si>
  <si>
    <t>Annual Out-of-Pocket Cost (before tax benefits)</t>
  </si>
  <si>
    <t>Annual Depreciation</t>
  </si>
  <si>
    <t>Annual Out-of-Pocket Cost (after tax benefits)</t>
  </si>
  <si>
    <t>Combined Marginal Tax Rate (%)</t>
  </si>
  <si>
    <t>Monthly Out-of-Pocket Cost (before tax benefits)</t>
  </si>
  <si>
    <t>Loan Type</t>
  </si>
  <si>
    <t>P&amp;I (or IO for Interest Only)</t>
  </si>
  <si>
    <t>Monthly Out-of-Pocket Cost (after tax benefits)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</si>
</sst>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;[Red]\-&quot;$&quot;#,##0"/>
    <numFmt numFmtId="165" formatCode="&quot;$&quot;#,##0.00;[Red]\-&quot;$&quot;#,##0.00"/>
  </numFmts>
  <fonts count="4">
    <font>
      <sz val="11.0"/>
      <color theme="1"/>
      <name val="Aptos Narrow"/>
      <scheme val="minor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horizontal="right" readingOrder="0" shrinkToFit="0" wrapText="1"/>
    </xf>
    <xf borderId="0" fillId="0" fontId="2" numFmtId="0" xfId="0" applyFont="1"/>
    <xf borderId="1" fillId="0" fontId="1" numFmtId="164" xfId="0" applyAlignment="1" applyBorder="1" applyFont="1" applyNumberFormat="1">
      <alignment horizontal="right" shrinkToFit="0" wrapText="1"/>
    </xf>
    <xf borderId="0" fillId="0" fontId="3" numFmtId="10" xfId="0" applyFont="1" applyNumberFormat="1"/>
    <xf borderId="0" fillId="0" fontId="3" numFmtId="9" xfId="0" applyFont="1" applyNumberFormat="1"/>
    <xf borderId="1" fillId="0" fontId="1" numFmtId="10" xfId="0" applyAlignment="1" applyBorder="1" applyFont="1" applyNumberFormat="1">
      <alignment horizontal="right" shrinkToFit="0" wrapText="1"/>
    </xf>
    <xf borderId="0" fillId="0" fontId="3" numFmtId="164" xfId="0" applyFont="1" applyNumberFormat="1"/>
    <xf borderId="1" fillId="2" fontId="1" numFmtId="0" xfId="0" applyAlignment="1" applyBorder="1" applyFill="1" applyFont="1">
      <alignment horizontal="right" shrinkToFit="0" wrapText="1"/>
    </xf>
    <xf borderId="0" fillId="0" fontId="3" numFmtId="165" xfId="0" applyFont="1" applyNumberFormat="1"/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20.5"/>
    <col customWidth="1" min="3" max="3" width="23.88"/>
    <col customWidth="1" min="4" max="4" width="8.63"/>
    <col customWidth="1" min="5" max="5" width="39.75"/>
    <col customWidth="1" min="6" max="7" width="10.75"/>
    <col customWidth="1" min="8" max="26" width="8.63"/>
  </cols>
  <sheetData>
    <row r="1" ht="14.25" customHeight="1">
      <c r="A1" s="1" t="s">
        <v>0</v>
      </c>
      <c r="B1" s="2">
        <v>700000.0</v>
      </c>
      <c r="E1" s="3" t="s">
        <v>1</v>
      </c>
      <c r="F1" s="3">
        <f>IF(B3&lt;&gt;"", B3*52, B1*B4)</f>
        <v>28600</v>
      </c>
    </row>
    <row r="2" ht="14.25" customHeight="1">
      <c r="A2" s="1" t="s">
        <v>2</v>
      </c>
      <c r="B2" s="4">
        <v>150000.0</v>
      </c>
      <c r="E2" s="3" t="s">
        <v>3</v>
      </c>
      <c r="F2" s="5">
        <f>IF(B4&lt;&gt;"", B4, F1/B1)</f>
        <v>0.04085714286</v>
      </c>
    </row>
    <row r="3" ht="14.25" customHeight="1">
      <c r="A3" s="1" t="s">
        <v>4</v>
      </c>
      <c r="B3" s="4">
        <v>550.0</v>
      </c>
      <c r="E3" s="3" t="s">
        <v>5</v>
      </c>
      <c r="F3" s="6">
        <f>(1-B2/B1)</f>
        <v>0.7857142857</v>
      </c>
    </row>
    <row r="4" ht="14.25" customHeight="1">
      <c r="A4" s="1" t="s">
        <v>6</v>
      </c>
      <c r="B4" s="7"/>
      <c r="E4" s="3" t="s">
        <v>7</v>
      </c>
      <c r="F4" s="3">
        <f>IF(B2/B1 &lt; 0.2, B1*B7, 0)</f>
        <v>0</v>
      </c>
    </row>
    <row r="5" ht="14.25" customHeight="1">
      <c r="A5" s="1" t="s">
        <v>8</v>
      </c>
      <c r="B5" s="7">
        <v>0.055</v>
      </c>
      <c r="E5" s="3" t="s">
        <v>9</v>
      </c>
      <c r="F5" s="8">
        <f>(B1-B2)+C4</f>
        <v>550000</v>
      </c>
    </row>
    <row r="6" ht="14.25" customHeight="1">
      <c r="A6" s="1" t="s">
        <v>10</v>
      </c>
      <c r="B6" s="9">
        <v>30.0</v>
      </c>
      <c r="E6" s="3" t="s">
        <v>11</v>
      </c>
      <c r="F6" s="10">
        <f>(B1*B13)</f>
        <v>7000</v>
      </c>
    </row>
    <row r="7" ht="14.25" customHeight="1">
      <c r="A7" s="1" t="s">
        <v>12</v>
      </c>
      <c r="B7" s="7">
        <v>0.025</v>
      </c>
      <c r="E7" s="3" t="s">
        <v>13</v>
      </c>
      <c r="F7" s="3">
        <f>(F1*B12)</f>
        <v>2145</v>
      </c>
    </row>
    <row r="8" ht="14.25" customHeight="1">
      <c r="A8" s="1" t="s">
        <v>14</v>
      </c>
      <c r="B8" s="4">
        <f>B1*0.04</f>
        <v>28000</v>
      </c>
      <c r="E8" s="3" t="s">
        <v>15</v>
      </c>
      <c r="F8" s="3">
        <f>IF(B16="P&amp;I", IPMT(B5/12,1,B6*12,-F5)*-12, F5*(B5))</f>
        <v>30250</v>
      </c>
    </row>
    <row r="9" ht="14.25" customHeight="1">
      <c r="A9" s="1" t="s">
        <v>16</v>
      </c>
      <c r="B9" s="4">
        <v>2000.0</v>
      </c>
      <c r="E9" s="3" t="s">
        <v>17</v>
      </c>
      <c r="F9" s="10">
        <f>F8+B9+B10+B11+F7+F6</f>
        <v>44095</v>
      </c>
    </row>
    <row r="10" ht="14.25" customHeight="1">
      <c r="A10" s="1" t="s">
        <v>18</v>
      </c>
      <c r="B10" s="4">
        <v>1200.0</v>
      </c>
      <c r="E10" s="3" t="s">
        <v>19</v>
      </c>
      <c r="F10" s="10">
        <f>F1-F9</f>
        <v>-15495</v>
      </c>
    </row>
    <row r="11" ht="14.25" customHeight="1">
      <c r="A11" s="1" t="s">
        <v>20</v>
      </c>
      <c r="B11" s="4">
        <v>1500.0</v>
      </c>
      <c r="E11" s="3" t="s">
        <v>21</v>
      </c>
      <c r="F11" s="8">
        <f>ABS(F10)+B14</f>
        <v>24495</v>
      </c>
    </row>
    <row r="12" ht="14.25" customHeight="1">
      <c r="A12" s="1" t="s">
        <v>22</v>
      </c>
      <c r="B12" s="7">
        <v>0.075</v>
      </c>
      <c r="E12" s="3" t="s">
        <v>23</v>
      </c>
      <c r="F12" s="10">
        <f>F11*B15</f>
        <v>9063.15</v>
      </c>
    </row>
    <row r="13" ht="14.25" customHeight="1">
      <c r="A13" s="1" t="s">
        <v>24</v>
      </c>
      <c r="B13" s="7">
        <v>0.01</v>
      </c>
      <c r="E13" s="3" t="s">
        <v>25</v>
      </c>
      <c r="F13" s="10">
        <f>(F9-F1)</f>
        <v>15495</v>
      </c>
    </row>
    <row r="14" ht="14.25" customHeight="1">
      <c r="A14" s="1" t="s">
        <v>26</v>
      </c>
      <c r="B14" s="4">
        <v>9000.0</v>
      </c>
      <c r="E14" s="3" t="s">
        <v>27</v>
      </c>
      <c r="F14" s="10">
        <f>F12-F11</f>
        <v>-15431.85</v>
      </c>
    </row>
    <row r="15" ht="14.25" customHeight="1">
      <c r="A15" s="1" t="s">
        <v>28</v>
      </c>
      <c r="B15" s="7">
        <v>0.37</v>
      </c>
      <c r="E15" s="3" t="s">
        <v>29</v>
      </c>
      <c r="F15" s="10">
        <f t="shared" ref="F15:F16" si="1">F13/12</f>
        <v>1291.25</v>
      </c>
    </row>
    <row r="16" ht="14.25" customHeight="1">
      <c r="A16" s="1" t="s">
        <v>30</v>
      </c>
      <c r="B16" s="11" t="s">
        <v>31</v>
      </c>
      <c r="E16" s="3" t="s">
        <v>32</v>
      </c>
      <c r="F16" s="10">
        <f t="shared" si="1"/>
        <v>-1285.9875</v>
      </c>
      <c r="G16" s="10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2025-08-01T10:53:03Z</dcterms:created>
  <dc:creator>Anoop Raghava</dc:creator>
</cp:coreProperties>
</file>